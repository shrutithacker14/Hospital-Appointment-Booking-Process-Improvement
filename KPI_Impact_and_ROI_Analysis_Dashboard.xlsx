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KPI_Comparison" sheetId="1" state="visible" r:id="rId1"/>
    <sheet xmlns:r="http://schemas.openxmlformats.org/officeDocument/2006/relationships" name="State_Wise_Performance_INR" sheetId="2" state="visible" r:id="rId2"/>
    <sheet xmlns:r="http://schemas.openxmlformats.org/officeDocument/2006/relationships" name="Department_and_Channel_Mix" sheetId="3" state="visible" r:id="rId3"/>
  </sheets>
  <definedNames>
    <definedName name="_xlnm._FilterDatabase" localSheetId="0" hidden="1">'Executive_KPI_Comparison'!$A$4:$F$17</definedName>
    <definedName name="_xlnm._FilterDatabase" localSheetId="1" hidden="1">'State_Wise_Performance_INR'!$A$4:$K$18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%;-0.00%;0.00%"/>
    <numFmt numFmtId="165" formatCode="0.00&quot; min&quot;"/>
    <numFmt numFmtId="166" formatCode="+0.0%;-0.0%;0.0%"/>
    <numFmt numFmtId="167" formatCode="+0.00;-0.00;0.00"/>
    <numFmt numFmtId="168" formatCode="₹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B365D"/>
      <sz val="10"/>
    </font>
    <font>
      <name val="Calibri"/>
      <b val="1"/>
      <color rgb="00FFFFFF"/>
      <sz val="10"/>
    </font>
    <font>
      <name val="Calibri"/>
      <b val="1"/>
      <color rgb="001B365D"/>
      <sz val="10"/>
    </font>
    <font>
      <name val="Calibri"/>
      <color rgb="001F2937"/>
      <sz val="10"/>
    </font>
    <font>
      <name val="Calibri"/>
      <i val="1"/>
      <color rgb="005A626A"/>
      <sz val="9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EEF8"/>
        <bgColor rgb="00E6EEF8"/>
      </patternFill>
    </fill>
    <fill>
      <patternFill patternType="solid">
        <fgColor rgb="002C5E8A"/>
        <bgColor rgb="002C5E8A"/>
      </patternFill>
    </fill>
    <fill>
      <patternFill patternType="solid">
        <fgColor rgb="00F4F7FA"/>
        <bgColor rgb="00F4F7FA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FFF8E7"/>
        <bgColor rgb="00FFF8E7"/>
      </patternFill>
    </fill>
    <fill>
      <patternFill patternType="solid">
        <fgColor rgb="00F8D7DA"/>
        <bgColor rgb="00F8D7DA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B365D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10" fontId="5" fillId="6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10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10" fontId="5" fillId="9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0" fontId="5" fillId="7" borderId="1" applyAlignment="1" pivotButton="0" quotePrefix="0" xfId="0">
      <alignment horizontal="right" vertical="center"/>
    </xf>
    <xf numFmtId="0" fontId="4" fillId="3" borderId="2" pivotButton="0" quotePrefix="0" xfId="0"/>
    <xf numFmtId="3" fontId="4" fillId="3" borderId="2" applyAlignment="1" pivotButton="0" quotePrefix="0" xfId="0">
      <alignment horizontal="right" vertical="center"/>
    </xf>
    <xf numFmtId="10" fontId="4" fillId="3" borderId="2" applyAlignment="1" pivotButton="0" quotePrefix="0" xfId="0">
      <alignment horizontal="right" vertical="center"/>
    </xf>
    <xf numFmtId="168" fontId="4" fillId="3" borderId="2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0" fontId="4" fillId="3" borderId="0" pivotButton="0" quotePrefix="0" xfId="0"/>
    <xf numFmtId="2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2" fontId="5" fillId="7" borderId="1" applyAlignment="1" pivotButton="0" quotePrefix="0" xfId="0">
      <alignment horizontal="right" vertical="center"/>
    </xf>
    <xf numFmtId="168" fontId="5" fillId="7" borderId="1" applyAlignment="1" pivotButton="0" quotePrefix="0" xfId="0">
      <alignment horizontal="right" vertical="center"/>
    </xf>
    <xf numFmtId="2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Zydus Hospitals (Hypothetical): As-Is vs. To-Be Operational Rates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'Executive_KPI_Comparison'!C4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'Executive_KPI_Comparison'!$B$6:$B$12</f>
            </numRef>
          </cat>
          <val>
            <numRef>
              <f>'Executive_KPI_Comparison'!$C$5:$C$12</f>
            </numRef>
          </val>
        </ser>
        <ser>
          <idx val="1"/>
          <order val="1"/>
          <tx>
            <strRef>
              <f>'Executive_KPI_Comparison'!D4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'Executive_KPI_Comparison'!$B$6:$B$12</f>
            </numRef>
          </cat>
          <val>
            <numRef>
              <f>'Executive_KPI_Comparison'!$D$5:$D$12</f>
            </numRef>
          </val>
        </ser>
        <gapWidth val="150"/>
        <overlap val="-1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Operational KPI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 Share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22" customWidth="1" min="4" max="4"/>
    <col width="18" customWidth="1" min="5" max="5"/>
    <col width="58" customWidth="1" min="6" max="6"/>
  </cols>
  <sheetData>
    <row r="1" ht="28" customHeight="1">
      <c r="A1" s="1" t="inlineStr">
        <is>
          <t>ZYDUS HOSPITALS (HYPOTHETICAL CASE STUDY) — EXECUTIVE OPD BOOKING KPI COMPARISON</t>
        </is>
      </c>
    </row>
    <row r="2" ht="20" customHeight="1">
      <c r="A2" s="2" t="inlineStr">
        <is>
          <t>Synthetic Scenario Cohort Comparison (n = 5,000 | Pre-Implementation As-Is vs. Post-Implementation To-Be) | Lead BA: Shruti Thacker</t>
        </is>
      </c>
    </row>
    <row r="3" ht="8" customHeight="1"/>
    <row r="4" ht="26" customHeight="1">
      <c r="A4" s="3" t="inlineStr">
        <is>
          <t>KPI ID</t>
        </is>
      </c>
      <c r="B4" s="3" t="inlineStr">
        <is>
          <t>Operational &amp; Patient Experience Metric</t>
        </is>
      </c>
      <c r="C4" s="4" t="inlineStr">
        <is>
          <t>Pre-Implementation (As-Is Cohort)</t>
        </is>
      </c>
      <c r="D4" s="4" t="inlineStr">
        <is>
          <t>Post-Implementation (To-Be Cohort)</t>
        </is>
      </c>
      <c r="E4" s="4" t="inlineStr">
        <is>
          <t>Net Variance / Shift</t>
        </is>
      </c>
      <c r="F4" s="4" t="inlineStr">
        <is>
          <t>Business Analysis &amp; Methodology Commentary</t>
        </is>
      </c>
    </row>
    <row r="5" ht="22" customHeight="1">
      <c r="A5" s="5" t="inlineStr">
        <is>
          <t>KPI-01</t>
        </is>
      </c>
      <c r="B5" s="6" t="inlineStr">
        <is>
          <t>Synthetic Cohort Sample Size (Records)</t>
        </is>
      </c>
      <c r="C5" s="7" t="n">
        <v>2500</v>
      </c>
      <c r="D5" s="7" t="n">
        <v>2500</v>
      </c>
      <c r="E5" s="8">
        <f>D5-C5</f>
        <v/>
      </c>
      <c r="F5" s="9" t="inlineStr">
        <is>
          <t>Balanced synthetic cohorts (2,500 records per phase across 7 Zydus facility units)</t>
        </is>
      </c>
    </row>
    <row r="6" ht="22" customHeight="1">
      <c r="A6" s="10" t="inlineStr">
        <is>
          <t>KPI-02</t>
        </is>
      </c>
      <c r="B6" s="11" t="inlineStr">
        <is>
          <t>Completed OPD Consultation Share (%)</t>
        </is>
      </c>
      <c r="C6" s="12" t="n">
        <v>0.6116</v>
      </c>
      <c r="D6" s="12" t="n">
        <v>0.8484</v>
      </c>
      <c r="E6" s="13">
        <f>D6-C6</f>
        <v/>
      </c>
      <c r="F6" s="14" t="inlineStr">
        <is>
          <t>Completed visits rose from 1,529 to 2,121 (+23.68 percentage points in sample)</t>
        </is>
      </c>
    </row>
    <row r="7" ht="22" customHeight="1">
      <c r="A7" s="5" t="inlineStr">
        <is>
          <t>KPI-03</t>
        </is>
      </c>
      <c r="B7" s="6" t="inlineStr">
        <is>
          <t>OPD Patient No-Show Share (%)</t>
        </is>
      </c>
      <c r="C7" s="15" t="n">
        <v>0.2392</v>
      </c>
      <c r="D7" s="15" t="n">
        <v>0.0728</v>
      </c>
      <c r="E7" s="13">
        <f>D7-C7</f>
        <v/>
      </c>
      <c r="F7" s="9" t="inlineStr">
        <is>
          <t>No-show records dropped from 598 to 182 (-16.64 percentage points in sample)</t>
        </is>
      </c>
    </row>
    <row r="8" ht="22" customHeight="1">
      <c r="A8" s="10" t="inlineStr">
        <is>
          <t>KPI-04</t>
        </is>
      </c>
      <c r="B8" s="11" t="inlineStr">
        <is>
          <t>OPD Cancellation Share (%)</t>
        </is>
      </c>
      <c r="C8" s="12" t="n">
        <v>0.1492</v>
      </c>
      <c r="D8" s="12" t="n">
        <v>0.0788</v>
      </c>
      <c r="E8" s="13">
        <f>D8-C8</f>
        <v/>
      </c>
      <c r="F8" s="14" t="inlineStr">
        <is>
          <t>Advance cancellations dropped from 373 to 197 (-7.04 percentage points)</t>
        </is>
      </c>
    </row>
    <row r="9" ht="22" customHeight="1">
      <c r="A9" s="5" t="inlineStr">
        <is>
          <t>KPI-05</t>
        </is>
      </c>
      <c r="B9" s="6" t="inlineStr">
        <is>
          <t>Double-Booking Slot Conflict Share (%)</t>
        </is>
      </c>
      <c r="C9" s="15" t="n">
        <v>0.1476</v>
      </c>
      <c r="D9" s="15" t="n">
        <v>0</v>
      </c>
      <c r="E9" s="13">
        <f>D9-C9</f>
        <v/>
      </c>
      <c r="F9" s="9" t="inlineStr">
        <is>
          <t>Simulated impact of 5-minute Redis concurrency slot lock (369 conflicts to 0)</t>
        </is>
      </c>
    </row>
    <row r="10" ht="22" customHeight="1">
      <c r="A10" s="10" t="inlineStr">
        <is>
          <t>KPI-06</t>
        </is>
      </c>
      <c r="B10" s="11" t="inlineStr">
        <is>
          <t>Digital Self-Service Booking Share (%)</t>
        </is>
      </c>
      <c r="C10" s="12" t="n">
        <v>0</v>
      </c>
      <c r="D10" s="12" t="n">
        <v>0.7403999999999999</v>
      </c>
      <c r="E10" s="13">
        <f>D10-C10</f>
        <v/>
      </c>
      <c r="F10" s="14" t="inlineStr">
        <is>
          <t>Share of bookings via Mobile App (28.88%), Web Portal (22.76%), &amp; WhatsApp Bot (22.40%)</t>
        </is>
      </c>
    </row>
    <row r="11" ht="22" customHeight="1">
      <c r="A11" s="5" t="inlineStr">
        <is>
          <t>KPI-07</t>
        </is>
      </c>
      <c r="B11" s="6" t="inlineStr">
        <is>
          <t>Cancelled Slot Waitlist Re-Fill Rate (%)</t>
        </is>
      </c>
      <c r="C11" s="15" t="n">
        <v>0.04825737265415549</v>
      </c>
      <c r="D11" s="15" t="n">
        <v>0.7817258883248731</v>
      </c>
      <c r="E11" s="13">
        <f>D11-C11</f>
        <v/>
      </c>
      <c r="F11" s="9" t="inlineStr">
        <is>
          <t>Cancelled slots re-allocated via dynamic waitlist (18/373 As-Is vs. 154/197 To-Be)</t>
        </is>
      </c>
    </row>
    <row r="12" ht="22" customHeight="1">
      <c r="A12" s="10" t="inlineStr">
        <is>
          <t>KPI-08</t>
        </is>
      </c>
      <c r="B12" s="11" t="inlineStr">
        <is>
          <t>ABHA Health ID Linkage Rate (%)</t>
        </is>
      </c>
      <c r="C12" s="12" t="n">
        <v>0.1808</v>
      </c>
      <c r="D12" s="12" t="n">
        <v>0.8408</v>
      </c>
      <c r="E12" s="13">
        <f>D12-C12</f>
        <v/>
      </c>
      <c r="F12" s="14" t="inlineStr">
        <is>
          <t>UHID records linked with Ayushman Bharat Health Account (ABHA ID) during OTP auth</t>
        </is>
      </c>
    </row>
    <row r="13" ht="22" customHeight="1">
      <c r="A13" s="5" t="inlineStr">
        <is>
          <t>KPI-09</t>
        </is>
      </c>
      <c r="B13" s="6" t="inlineStr">
        <is>
          <t>Mean Booking Turnaround Time (Minutes)</t>
        </is>
      </c>
      <c r="C13" s="16" t="n">
        <v>11.36</v>
      </c>
      <c r="D13" s="16" t="n">
        <v>1.79</v>
      </c>
      <c r="E13" s="17">
        <f>(D13-C13)/C13</f>
        <v/>
      </c>
      <c r="F13" s="9" t="inlineStr">
        <is>
          <t>Arithmetic mean across all cohort rows (-84.24% relative reduction in booking time)</t>
        </is>
      </c>
    </row>
    <row r="14" ht="22" customHeight="1">
      <c r="A14" s="10" t="inlineStr">
        <is>
          <t>KPI-10</t>
        </is>
      </c>
      <c r="B14" s="11" t="inlineStr">
        <is>
          <t>Mean OPD Waiting Hall Time — Completed Visits (Mins)</t>
        </is>
      </c>
      <c r="C14" s="18" t="n">
        <v>48.52</v>
      </c>
      <c r="D14" s="18" t="n">
        <v>14.25</v>
      </c>
      <c r="E14" s="17">
        <f>(D14-C14)/C14</f>
        <v/>
      </c>
      <c r="F14" s="14" t="inlineStr">
        <is>
          <t>Mean among Completed visits only (-70.63% relative drop in lobby waiting time)</t>
        </is>
      </c>
    </row>
    <row r="15" ht="22" customHeight="1">
      <c r="A15" s="5" t="inlineStr">
        <is>
          <t>KPI-11</t>
        </is>
      </c>
      <c r="B15" s="6" t="inlineStr">
        <is>
          <t>Mean Synthetic Patient CSAT Score (1 to 5 Scale)</t>
        </is>
      </c>
      <c r="C15" s="19" t="n">
        <v>2.61</v>
      </c>
      <c r="D15" s="19" t="n">
        <v>4.19</v>
      </c>
      <c r="E15" s="20">
        <f>D15-C15</f>
        <v/>
      </c>
      <c r="F15" s="9" t="inlineStr">
        <is>
          <t>Simulated post-visit satisfaction score (+1.58 points on a 5-point scale)</t>
        </is>
      </c>
    </row>
    <row r="16" ht="22" customHeight="1">
      <c r="A16" s="10" t="inlineStr">
        <is>
          <t>KPI-12</t>
        </is>
      </c>
      <c r="B16" s="11" t="inlineStr">
        <is>
          <t>Simulated Realized OPD Revenue (INR ₹)</t>
        </is>
      </c>
      <c r="C16" s="21" t="n">
        <v>1170000</v>
      </c>
      <c r="D16" s="21" t="n">
        <v>1603250</v>
      </c>
      <c r="E16" s="17">
        <f>(D16-C16)/C16</f>
        <v/>
      </c>
      <c r="F16" s="14" t="inlineStr">
        <is>
          <t>Sum of Realized_Revenue_INR across completed visits (+37.03% in synthetic sample)</t>
        </is>
      </c>
    </row>
    <row r="17" ht="22" customHeight="1">
      <c r="A17" s="5" t="inlineStr">
        <is>
          <t>KPI-13</t>
        </is>
      </c>
      <c r="B17" s="6" t="inlineStr">
        <is>
          <t>Simulated Unrecovered No-Show Revenue Loss (INR ₹)</t>
        </is>
      </c>
      <c r="C17" s="22" t="n">
        <v>445250</v>
      </c>
      <c r="D17" s="22" t="n">
        <v>139700</v>
      </c>
      <c r="E17" s="17">
        <f>(D17-C17)/C17</f>
        <v/>
      </c>
      <c r="F17" s="9" t="inlineStr">
        <is>
          <t>Sum of No_Show_Revenue_Loss_INR (-68.62% reduction in unbilled slot value)</t>
        </is>
      </c>
    </row>
    <row r="19" ht="28" customHeight="1">
      <c r="A19" s="23" t="inlineStr">
        <is>
          <t>GOVERNANCE &amp; METHODOLOGY NOTE: This workbook models a hypothetical Business Analysis portfolio case study for Zydus Hospitals. All figures are derived from the 5,000-row synthetic dataset and represent illustrative scenario cohorts, not audited hospital financials or causal post-implementation proof.</t>
        </is>
      </c>
    </row>
  </sheetData>
  <autoFilter ref="A4:F17"/>
  <mergeCells count="3">
    <mergeCell ref="A19:F19"/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8" customWidth="1" min="3" max="3"/>
    <col width="15" customWidth="1" min="4" max="4"/>
    <col width="16" customWidth="1" min="5" max="5"/>
    <col width="16" customWidth="1" min="6" max="6"/>
    <col width="15" customWidth="1" min="7" max="7"/>
    <col width="17" customWidth="1" min="8" max="8"/>
    <col width="17" customWidth="1" min="9" max="9"/>
    <col width="22" customWidth="1" min="10" max="10"/>
    <col width="24" customWidth="1" min="11" max="11"/>
  </cols>
  <sheetData>
    <row r="1" ht="28" customHeight="1">
      <c r="A1" s="1" t="inlineStr">
        <is>
          <t>ZYDUS HOSPITALS (HYPOTHETICAL) — FACILITY &amp; STATE-WISE COHORT PERFORMANCE (INR ₹)</t>
        </is>
      </c>
    </row>
    <row r="2" ht="20" customHeight="1">
      <c r="A2" s="2" t="inlineStr">
        <is>
          <t>Breakdown by Regional State &amp; Zydus Facility Unit across Pre-Implementation (As-Is) and Post-Implementation (To-Be) Cohorts</t>
        </is>
      </c>
    </row>
    <row r="3" ht="8" customHeight="1"/>
    <row r="4" ht="26" customHeight="1">
      <c r="A4" s="3" t="inlineStr">
        <is>
          <t>State Region</t>
        </is>
      </c>
      <c r="B4" s="3" t="inlineStr">
        <is>
          <t>Zydus Hospital Facility Unit</t>
        </is>
      </c>
      <c r="C4" s="4" t="inlineStr">
        <is>
          <t>Scenario Cohort</t>
        </is>
      </c>
      <c r="D4" s="4" t="inlineStr">
        <is>
          <t>Total Bookings</t>
        </is>
      </c>
      <c r="E4" s="4" t="inlineStr">
        <is>
          <t>Completed Visits</t>
        </is>
      </c>
      <c r="F4" s="4" t="inlineStr">
        <is>
          <t>Cancelled Visits</t>
        </is>
      </c>
      <c r="G4" s="4" t="inlineStr">
        <is>
          <t>No-Show Count</t>
        </is>
      </c>
      <c r="H4" s="4" t="inlineStr">
        <is>
          <t>No-Show Share (%)</t>
        </is>
      </c>
      <c r="I4" s="4" t="inlineStr">
        <is>
          <t>Waitlist Re-Filled</t>
        </is>
      </c>
      <c r="J4" s="4" t="inlineStr">
        <is>
          <t>Realized Revenue (INR ₹)</t>
        </is>
      </c>
      <c r="K4" s="4" t="inlineStr">
        <is>
          <t>No-Show Revenue Loss (INR ₹)</t>
        </is>
      </c>
    </row>
    <row r="5" ht="20" customHeight="1">
      <c r="A5" s="24" t="inlineStr">
        <is>
          <t>Delhi NCR</t>
        </is>
      </c>
      <c r="B5" s="24" t="inlineStr">
        <is>
          <t>Zydus Hospitals - New Delhi (Vasant Kunj)</t>
        </is>
      </c>
      <c r="C5" s="25" t="inlineStr">
        <is>
          <t>Pre-Implementation (As-Is)</t>
        </is>
      </c>
      <c r="D5" s="26" t="n">
        <v>408</v>
      </c>
      <c r="E5" s="26" t="n">
        <v>238</v>
      </c>
      <c r="F5" s="26" t="n">
        <v>73</v>
      </c>
      <c r="G5" s="26" t="n">
        <v>97</v>
      </c>
      <c r="H5" s="27">
        <f>G5/D5</f>
        <v/>
      </c>
      <c r="I5" s="26" t="n">
        <v>2</v>
      </c>
      <c r="J5" s="21" t="n">
        <v>181150</v>
      </c>
      <c r="K5" s="21" t="n">
        <v>72400</v>
      </c>
    </row>
    <row r="6" ht="20" customHeight="1">
      <c r="A6" s="28" t="inlineStr">
        <is>
          <t>Delhi NCR</t>
        </is>
      </c>
      <c r="B6" s="28" t="inlineStr">
        <is>
          <t>Zydus Hospitals - New Delhi (Vasant Kunj)</t>
        </is>
      </c>
      <c r="C6" s="29" t="inlineStr">
        <is>
          <t>Post-Implementation (To-Be)</t>
        </is>
      </c>
      <c r="D6" s="7" t="n">
        <v>376</v>
      </c>
      <c r="E6" s="7" t="n">
        <v>319</v>
      </c>
      <c r="F6" s="7" t="n">
        <v>29</v>
      </c>
      <c r="G6" s="7" t="n">
        <v>28</v>
      </c>
      <c r="H6" s="30">
        <f>G6/D6</f>
        <v/>
      </c>
      <c r="I6" s="7" t="n">
        <v>24</v>
      </c>
      <c r="J6" s="22" t="n">
        <v>243850</v>
      </c>
      <c r="K6" s="22" t="n">
        <v>22600</v>
      </c>
    </row>
    <row r="7" ht="20" customHeight="1">
      <c r="A7" s="24" t="inlineStr">
        <is>
          <t>Gujarat</t>
        </is>
      </c>
      <c r="B7" s="24" t="inlineStr">
        <is>
          <t>Zydus Hospitals - Ahmedabad (SG Highway)</t>
        </is>
      </c>
      <c r="C7" s="25" t="inlineStr">
        <is>
          <t>Pre-Implementation (As-Is)</t>
        </is>
      </c>
      <c r="D7" s="26" t="n">
        <v>347</v>
      </c>
      <c r="E7" s="26" t="n">
        <v>218</v>
      </c>
      <c r="F7" s="26" t="n">
        <v>57</v>
      </c>
      <c r="G7" s="26" t="n">
        <v>72</v>
      </c>
      <c r="H7" s="27">
        <f>G7/D7</f>
        <v/>
      </c>
      <c r="I7" s="26" t="n">
        <v>5</v>
      </c>
      <c r="J7" s="21" t="n">
        <v>171000</v>
      </c>
      <c r="K7" s="21" t="n">
        <v>51900</v>
      </c>
    </row>
    <row r="8" ht="20" customHeight="1">
      <c r="A8" s="28" t="inlineStr">
        <is>
          <t>Gujarat</t>
        </is>
      </c>
      <c r="B8" s="28" t="inlineStr">
        <is>
          <t>Zydus Hospitals - Ahmedabad (SG Highway)</t>
        </is>
      </c>
      <c r="C8" s="29" t="inlineStr">
        <is>
          <t>Post-Implementation (To-Be)</t>
        </is>
      </c>
      <c r="D8" s="7" t="n">
        <v>383</v>
      </c>
      <c r="E8" s="7" t="n">
        <v>331</v>
      </c>
      <c r="F8" s="7" t="n">
        <v>31</v>
      </c>
      <c r="G8" s="7" t="n">
        <v>21</v>
      </c>
      <c r="H8" s="30">
        <f>G8/D8</f>
        <v/>
      </c>
      <c r="I8" s="7" t="n">
        <v>26</v>
      </c>
      <c r="J8" s="22" t="n">
        <v>248550</v>
      </c>
      <c r="K8" s="22" t="n">
        <v>16050</v>
      </c>
    </row>
    <row r="9" ht="20" customHeight="1">
      <c r="A9" s="24" t="inlineStr">
        <is>
          <t>Gujarat</t>
        </is>
      </c>
      <c r="B9" s="24" t="inlineStr">
        <is>
          <t>Zydus Hospitals - Bhuj (Kutch)</t>
        </is>
      </c>
      <c r="C9" s="25" t="inlineStr">
        <is>
          <t>Pre-Implementation (As-Is)</t>
        </is>
      </c>
      <c r="D9" s="26" t="n">
        <v>321</v>
      </c>
      <c r="E9" s="26" t="n">
        <v>189</v>
      </c>
      <c r="F9" s="26" t="n">
        <v>53</v>
      </c>
      <c r="G9" s="26" t="n">
        <v>79</v>
      </c>
      <c r="H9" s="27">
        <f>G9/D9</f>
        <v/>
      </c>
      <c r="I9" s="26" t="n">
        <v>5</v>
      </c>
      <c r="J9" s="21" t="n">
        <v>147150</v>
      </c>
      <c r="K9" s="21" t="n">
        <v>57100</v>
      </c>
    </row>
    <row r="10" ht="20" customHeight="1">
      <c r="A10" s="28" t="inlineStr">
        <is>
          <t>Gujarat</t>
        </is>
      </c>
      <c r="B10" s="28" t="inlineStr">
        <is>
          <t>Zydus Hospitals - Bhuj (Kutch)</t>
        </is>
      </c>
      <c r="C10" s="29" t="inlineStr">
        <is>
          <t>Post-Implementation (To-Be)</t>
        </is>
      </c>
      <c r="D10" s="7" t="n">
        <v>380</v>
      </c>
      <c r="E10" s="7" t="n">
        <v>315</v>
      </c>
      <c r="F10" s="7" t="n">
        <v>36</v>
      </c>
      <c r="G10" s="7" t="n">
        <v>29</v>
      </c>
      <c r="H10" s="30">
        <f>G10/D10</f>
        <v/>
      </c>
      <c r="I10" s="7" t="n">
        <v>26</v>
      </c>
      <c r="J10" s="22" t="n">
        <v>235850</v>
      </c>
      <c r="K10" s="22" t="n">
        <v>20550</v>
      </c>
    </row>
    <row r="11" ht="20" customHeight="1">
      <c r="A11" s="24" t="inlineStr">
        <is>
          <t>Karnataka</t>
        </is>
      </c>
      <c r="B11" s="24" t="inlineStr">
        <is>
          <t>Zydus Hospitals - Bengaluru (Indiranagar)</t>
        </is>
      </c>
      <c r="C11" s="25" t="inlineStr">
        <is>
          <t>Pre-Implementation (As-Is)</t>
        </is>
      </c>
      <c r="D11" s="26" t="n">
        <v>346</v>
      </c>
      <c r="E11" s="26" t="n">
        <v>221</v>
      </c>
      <c r="F11" s="26" t="n">
        <v>50</v>
      </c>
      <c r="G11" s="26" t="n">
        <v>75</v>
      </c>
      <c r="H11" s="27">
        <f>G11/D11</f>
        <v/>
      </c>
      <c r="I11" s="26" t="n">
        <v>3</v>
      </c>
      <c r="J11" s="21" t="n">
        <v>176950</v>
      </c>
      <c r="K11" s="21" t="n">
        <v>59400</v>
      </c>
    </row>
    <row r="12" ht="20" customHeight="1">
      <c r="A12" s="28" t="inlineStr">
        <is>
          <t>Karnataka</t>
        </is>
      </c>
      <c r="B12" s="28" t="inlineStr">
        <is>
          <t>Zydus Hospitals - Bengaluru (Indiranagar)</t>
        </is>
      </c>
      <c r="C12" s="29" t="inlineStr">
        <is>
          <t>Post-Implementation (To-Be)</t>
        </is>
      </c>
      <c r="D12" s="7" t="n">
        <v>327</v>
      </c>
      <c r="E12" s="7" t="n">
        <v>275</v>
      </c>
      <c r="F12" s="7" t="n">
        <v>28</v>
      </c>
      <c r="G12" s="7" t="n">
        <v>24</v>
      </c>
      <c r="H12" s="30">
        <f>G12/D12</f>
        <v/>
      </c>
      <c r="I12" s="7" t="n">
        <v>25</v>
      </c>
      <c r="J12" s="22" t="n">
        <v>203900</v>
      </c>
      <c r="K12" s="22" t="n">
        <v>19750</v>
      </c>
    </row>
    <row r="13" ht="20" customHeight="1">
      <c r="A13" s="24" t="inlineStr">
        <is>
          <t>Maharashtra</t>
        </is>
      </c>
      <c r="B13" s="24" t="inlineStr">
        <is>
          <t>Zydus Hospitals - Mumbai (Andheri West)</t>
        </is>
      </c>
      <c r="C13" s="25" t="inlineStr">
        <is>
          <t>Pre-Implementation (As-Is)</t>
        </is>
      </c>
      <c r="D13" s="26" t="n">
        <v>374</v>
      </c>
      <c r="E13" s="26" t="n">
        <v>232</v>
      </c>
      <c r="F13" s="26" t="n">
        <v>52</v>
      </c>
      <c r="G13" s="26" t="n">
        <v>90</v>
      </c>
      <c r="H13" s="27">
        <f>G13/D13</f>
        <v/>
      </c>
      <c r="I13" s="26" t="n">
        <v>2</v>
      </c>
      <c r="J13" s="21" t="n">
        <v>175350</v>
      </c>
      <c r="K13" s="21" t="n">
        <v>69300</v>
      </c>
    </row>
    <row r="14" ht="20" customHeight="1">
      <c r="A14" s="28" t="inlineStr">
        <is>
          <t>Maharashtra</t>
        </is>
      </c>
      <c r="B14" s="28" t="inlineStr">
        <is>
          <t>Zydus Hospitals - Mumbai (Andheri West)</t>
        </is>
      </c>
      <c r="C14" s="29" t="inlineStr">
        <is>
          <t>Post-Implementation (To-Be)</t>
        </is>
      </c>
      <c r="D14" s="7" t="n">
        <v>356</v>
      </c>
      <c r="E14" s="7" t="n">
        <v>297</v>
      </c>
      <c r="F14" s="7" t="n">
        <v>28</v>
      </c>
      <c r="G14" s="7" t="n">
        <v>31</v>
      </c>
      <c r="H14" s="30">
        <f>G14/D14</f>
        <v/>
      </c>
      <c r="I14" s="7" t="n">
        <v>18</v>
      </c>
      <c r="J14" s="22" t="n">
        <v>224100</v>
      </c>
      <c r="K14" s="22" t="n">
        <v>23150</v>
      </c>
    </row>
    <row r="15" ht="20" customHeight="1">
      <c r="A15" s="24" t="inlineStr">
        <is>
          <t>Rajasthan</t>
        </is>
      </c>
      <c r="B15" s="24" t="inlineStr">
        <is>
          <t>Zydus Hospitals - Jaipur (Malviya Nagar)</t>
        </is>
      </c>
      <c r="C15" s="25" t="inlineStr">
        <is>
          <t>Pre-Implementation (As-Is)</t>
        </is>
      </c>
      <c r="D15" s="26" t="n">
        <v>329</v>
      </c>
      <c r="E15" s="26" t="n">
        <v>199</v>
      </c>
      <c r="F15" s="26" t="n">
        <v>42</v>
      </c>
      <c r="G15" s="26" t="n">
        <v>88</v>
      </c>
      <c r="H15" s="27">
        <f>G15/D15</f>
        <v/>
      </c>
      <c r="I15" s="26" t="n">
        <v>1</v>
      </c>
      <c r="J15" s="21" t="n">
        <v>145900</v>
      </c>
      <c r="K15" s="21" t="n">
        <v>66350</v>
      </c>
    </row>
    <row r="16" ht="20" customHeight="1">
      <c r="A16" s="28" t="inlineStr">
        <is>
          <t>Rajasthan</t>
        </is>
      </c>
      <c r="B16" s="28" t="inlineStr">
        <is>
          <t>Zydus Hospitals - Jaipur (Malviya Nagar)</t>
        </is>
      </c>
      <c r="C16" s="29" t="inlineStr">
        <is>
          <t>Post-Implementation (To-Be)</t>
        </is>
      </c>
      <c r="D16" s="7" t="n">
        <v>333</v>
      </c>
      <c r="E16" s="7" t="n">
        <v>288</v>
      </c>
      <c r="F16" s="7" t="n">
        <v>19</v>
      </c>
      <c r="G16" s="7" t="n">
        <v>26</v>
      </c>
      <c r="H16" s="30">
        <f>G16/D16</f>
        <v/>
      </c>
      <c r="I16" s="7" t="n">
        <v>16</v>
      </c>
      <c r="J16" s="22" t="n">
        <v>221350</v>
      </c>
      <c r="K16" s="22" t="n">
        <v>21250</v>
      </c>
    </row>
    <row r="17" ht="20" customHeight="1">
      <c r="A17" s="24" t="inlineStr">
        <is>
          <t>Tamil Nadu</t>
        </is>
      </c>
      <c r="B17" s="24" t="inlineStr">
        <is>
          <t>Zydus Hospitals - Chennai (Alwarpet)</t>
        </is>
      </c>
      <c r="C17" s="25" t="inlineStr">
        <is>
          <t>Pre-Implementation (As-Is)</t>
        </is>
      </c>
      <c r="D17" s="26" t="n">
        <v>375</v>
      </c>
      <c r="E17" s="26" t="n">
        <v>232</v>
      </c>
      <c r="F17" s="26" t="n">
        <v>46</v>
      </c>
      <c r="G17" s="26" t="n">
        <v>97</v>
      </c>
      <c r="H17" s="27">
        <f>G17/D17</f>
        <v/>
      </c>
      <c r="I17" s="26" t="n">
        <v>0</v>
      </c>
      <c r="J17" s="21" t="n">
        <v>172500</v>
      </c>
      <c r="K17" s="21" t="n">
        <v>68800</v>
      </c>
    </row>
    <row r="18" ht="20" customHeight="1">
      <c r="A18" s="28" t="inlineStr">
        <is>
          <t>Tamil Nadu</t>
        </is>
      </c>
      <c r="B18" s="28" t="inlineStr">
        <is>
          <t>Zydus Hospitals - Chennai (Alwarpet)</t>
        </is>
      </c>
      <c r="C18" s="29" t="inlineStr">
        <is>
          <t>Post-Implementation (To-Be)</t>
        </is>
      </c>
      <c r="D18" s="7" t="n">
        <v>345</v>
      </c>
      <c r="E18" s="7" t="n">
        <v>296</v>
      </c>
      <c r="F18" s="7" t="n">
        <v>26</v>
      </c>
      <c r="G18" s="7" t="n">
        <v>23</v>
      </c>
      <c r="H18" s="30">
        <f>G18/D18</f>
        <v/>
      </c>
      <c r="I18" s="7" t="n">
        <v>19</v>
      </c>
      <c r="J18" s="22" t="n">
        <v>225650</v>
      </c>
      <c r="K18" s="22" t="n">
        <v>16350</v>
      </c>
    </row>
    <row r="19" ht="22" customHeight="1">
      <c r="A19" s="31" t="inlineStr">
        <is>
          <t>As-Is Cohort Total</t>
        </is>
      </c>
      <c r="B19" s="31" t="inlineStr">
        <is>
          <t>All 7 Zydus Units</t>
        </is>
      </c>
      <c r="C19" s="31" t="inlineStr">
        <is>
          <t>Pre-Implementation (As-Is)</t>
        </is>
      </c>
      <c r="D19" s="32">
        <f>SUMIF($C$5:$C$18, "Pre-Implementation (As-Is)", D$5:D$18)</f>
        <v/>
      </c>
      <c r="E19" s="32">
        <f>SUMIF($C$5:$C$18, "Pre-Implementation (As-Is)", E$5:E$18)</f>
        <v/>
      </c>
      <c r="F19" s="32">
        <f>SUMIF($C$5:$C$18, "Pre-Implementation (As-Is)", F$5:F$18)</f>
        <v/>
      </c>
      <c r="G19" s="32">
        <f>SUMIF($C$5:$C$18, "Pre-Implementation (As-Is)", G$5:G$18)</f>
        <v/>
      </c>
      <c r="H19" s="33">
        <f>G19/D19</f>
        <v/>
      </c>
      <c r="I19" s="32">
        <f>SUMIF($C$5:$C$18, "Pre-Implementation (As-Is)", I$5:I$18)</f>
        <v/>
      </c>
      <c r="J19" s="34">
        <f>SUMIF($C$5:$C$18, "Pre-Implementation (As-Is)", J$5:J$18)</f>
        <v/>
      </c>
      <c r="K19" s="34">
        <f>SUMIF($C$5:$C$18, "Pre-Implementation (As-Is)", K$5:K$18)</f>
        <v/>
      </c>
    </row>
    <row r="20" ht="22" customHeight="1">
      <c r="A20" s="31" t="inlineStr">
        <is>
          <t>To-Be Cohort Total</t>
        </is>
      </c>
      <c r="B20" s="31" t="inlineStr">
        <is>
          <t>All 7 Zydus Units</t>
        </is>
      </c>
      <c r="C20" s="31" t="inlineStr">
        <is>
          <t>Post-Implementation (To-Be)</t>
        </is>
      </c>
      <c r="D20" s="32">
        <f>SUMIF($C$5:$C$18, "Post-Implementation (To-Be)", D$5:D$18)</f>
        <v/>
      </c>
      <c r="E20" s="32">
        <f>SUMIF($C$5:$C$18, "Post-Implementation (To-Be)", E$5:E$18)</f>
        <v/>
      </c>
      <c r="F20" s="32">
        <f>SUMIF($C$5:$C$18, "Post-Implementation (To-Be)", F$5:F$18)</f>
        <v/>
      </c>
      <c r="G20" s="32">
        <f>SUMIF($C$5:$C$18, "Post-Implementation (To-Be)", G$5:G$18)</f>
        <v/>
      </c>
      <c r="H20" s="33">
        <f>G20/D20</f>
        <v/>
      </c>
      <c r="I20" s="32">
        <f>SUMIF($C$5:$C$18, "Post-Implementation (To-Be)", I$5:I$18)</f>
        <v/>
      </c>
      <c r="J20" s="34">
        <f>SUMIF($C$5:$C$18, "Post-Implementation (To-Be)", J$5:J$18)</f>
        <v/>
      </c>
      <c r="K20" s="34">
        <f>SUMIF($C$5:$C$18, "Post-Implementation (To-Be)", K$5:K$18)</f>
        <v/>
      </c>
    </row>
    <row r="21" ht="23" customHeight="1">
      <c r="A21" s="31" t="inlineStr">
        <is>
          <t>Grand Total (Sample)</t>
        </is>
      </c>
      <c r="B21" s="31" t="inlineStr">
        <is>
          <t>7 Zydus Facilities (6 States)</t>
        </is>
      </c>
      <c r="C21" s="31" t="inlineStr">
        <is>
          <t>Combined Cohorts</t>
        </is>
      </c>
      <c r="D21" s="32">
        <f>SUM(D5:D18)</f>
        <v/>
      </c>
      <c r="E21" s="32">
        <f>SUM(E5:E18)</f>
        <v/>
      </c>
      <c r="F21" s="32">
        <f>SUM(F5:F18)</f>
        <v/>
      </c>
      <c r="G21" s="32">
        <f>SUM(G5:G18)</f>
        <v/>
      </c>
      <c r="H21" s="33">
        <f>G21/D21</f>
        <v/>
      </c>
      <c r="I21" s="32">
        <f>SUM(I5:I18)</f>
        <v/>
      </c>
      <c r="J21" s="34">
        <f>SUM(J5:J18)</f>
        <v/>
      </c>
      <c r="K21" s="34">
        <f>SUM(K5:K18)</f>
        <v/>
      </c>
    </row>
  </sheetData>
  <autoFilter ref="A4:K18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6" customWidth="1" min="4" max="4"/>
    <col width="16" customWidth="1" min="5" max="5"/>
    <col width="18" customWidth="1" min="6" max="6"/>
    <col width="22" customWidth="1" min="7" max="7"/>
    <col width="22" customWidth="1" min="8" max="8"/>
    <col width="26" customWidth="1" min="9" max="9"/>
  </cols>
  <sheetData>
    <row r="1" ht="28" customHeight="1">
      <c r="A1" s="1" t="inlineStr">
        <is>
          <t>ZYDUS HOSPITALS (HYPOTHETICAL) — SPECIALTY DEPARTMENT &amp; BOOKING CHANNEL ANALYTICS</t>
        </is>
      </c>
    </row>
    <row r="2" ht="20" customHeight="1">
      <c r="A2" s="2" t="inlineStr">
        <is>
          <t>Clinical Specialty Tariff Structure, Turnaround, Wait Time &amp; Omnichannel Migration Analysis (n = 5,000)</t>
        </is>
      </c>
    </row>
    <row r="3" ht="8" customHeight="1"/>
    <row r="4" ht="26" customHeight="1">
      <c r="A4" s="3" t="inlineStr">
        <is>
          <t>Clinical Specialty / Department</t>
        </is>
      </c>
      <c r="B4" s="3" t="inlineStr">
        <is>
          <t>Standard OPD Tariff (INR ₹)</t>
        </is>
      </c>
      <c r="C4" s="4" t="inlineStr">
        <is>
          <t>As-Is Bookings</t>
        </is>
      </c>
      <c r="D4" s="4" t="inlineStr">
        <is>
          <t>To-Be Bookings</t>
        </is>
      </c>
      <c r="E4" s="4" t="inlineStr">
        <is>
          <t>Total Bookings</t>
        </is>
      </c>
      <c r="F4" s="4" t="inlineStr">
        <is>
          <t>As-Is No-Show (%)</t>
        </is>
      </c>
      <c r="G4" s="4" t="inlineStr">
        <is>
          <t>To-Be No-Show (%)</t>
        </is>
      </c>
      <c r="H4" s="4" t="inlineStr">
        <is>
          <t>To-Be Mean Wait (Mins)</t>
        </is>
      </c>
      <c r="I4" s="4" t="inlineStr">
        <is>
          <t>Total Realized Revenue (INR ₹)</t>
        </is>
      </c>
    </row>
    <row r="5" ht="20" customHeight="1">
      <c r="A5" s="28" t="inlineStr">
        <is>
          <t>Cardiology</t>
        </is>
      </c>
      <c r="B5" s="22" t="n">
        <v>1000</v>
      </c>
      <c r="C5" s="7" t="n">
        <v>302</v>
      </c>
      <c r="D5" s="7" t="n">
        <v>319</v>
      </c>
      <c r="E5" s="35">
        <f>C5+D5</f>
        <v/>
      </c>
      <c r="F5" s="15" t="n">
        <v>0.2185430463576159</v>
      </c>
      <c r="G5" s="30" t="n">
        <v>0.07523510971786834</v>
      </c>
      <c r="H5" s="16" t="n">
        <v>14.18</v>
      </c>
      <c r="I5" s="22" t="n">
        <v>462000</v>
      </c>
    </row>
    <row r="6" ht="20" customHeight="1">
      <c r="A6" s="24" t="inlineStr">
        <is>
          <t>Dermatology</t>
        </is>
      </c>
      <c r="B6" s="21" t="n">
        <v>650</v>
      </c>
      <c r="C6" s="26" t="n">
        <v>298</v>
      </c>
      <c r="D6" s="26" t="n">
        <v>336</v>
      </c>
      <c r="E6" s="36">
        <f>C6+D6</f>
        <v/>
      </c>
      <c r="F6" s="12" t="n">
        <v>0.2214765100671141</v>
      </c>
      <c r="G6" s="30" t="n">
        <v>0.0744047619047619</v>
      </c>
      <c r="H6" s="18" t="n">
        <v>14</v>
      </c>
      <c r="I6" s="21" t="n">
        <v>305500</v>
      </c>
    </row>
    <row r="7" ht="20" customHeight="1">
      <c r="A7" s="28" t="inlineStr">
        <is>
          <t>ENT</t>
        </is>
      </c>
      <c r="B7" s="22" t="n">
        <v>550</v>
      </c>
      <c r="C7" s="7" t="n">
        <v>318</v>
      </c>
      <c r="D7" s="7" t="n">
        <v>309</v>
      </c>
      <c r="E7" s="35">
        <f>C7+D7</f>
        <v/>
      </c>
      <c r="F7" s="15" t="n">
        <v>0.2767295597484277</v>
      </c>
      <c r="G7" s="30" t="n">
        <v>0.07119741100323625</v>
      </c>
      <c r="H7" s="16" t="n">
        <v>14.46</v>
      </c>
      <c r="I7" s="22" t="n">
        <v>245850</v>
      </c>
    </row>
    <row r="8" ht="20" customHeight="1">
      <c r="A8" s="24" t="inlineStr">
        <is>
          <t>General Medicine</t>
        </is>
      </c>
      <c r="B8" s="21" t="n">
        <v>500</v>
      </c>
      <c r="C8" s="26" t="n">
        <v>316</v>
      </c>
      <c r="D8" s="26" t="n">
        <v>308</v>
      </c>
      <c r="E8" s="36">
        <f>C8+D8</f>
        <v/>
      </c>
      <c r="F8" s="12" t="n">
        <v>0.2879746835443038</v>
      </c>
      <c r="G8" s="30" t="n">
        <v>0.04545454545454546</v>
      </c>
      <c r="H8" s="18" t="n">
        <v>13.95</v>
      </c>
      <c r="I8" s="21" t="n">
        <v>227500</v>
      </c>
    </row>
    <row r="9" ht="20" customHeight="1">
      <c r="A9" s="28" t="inlineStr">
        <is>
          <t>Gynecology &amp; Obstetrics</t>
        </is>
      </c>
      <c r="B9" s="22" t="n">
        <v>750</v>
      </c>
      <c r="C9" s="7" t="n">
        <v>303</v>
      </c>
      <c r="D9" s="7" t="n">
        <v>321</v>
      </c>
      <c r="E9" s="35">
        <f>C9+D9</f>
        <v/>
      </c>
      <c r="F9" s="15" t="n">
        <v>0.1947194719471947</v>
      </c>
      <c r="G9" s="30" t="n">
        <v>0.06542056074766354</v>
      </c>
      <c r="H9" s="16" t="n">
        <v>14.45</v>
      </c>
      <c r="I9" s="22" t="n">
        <v>342000</v>
      </c>
    </row>
    <row r="10" ht="20" customHeight="1">
      <c r="A10" s="24" t="inlineStr">
        <is>
          <t>Neurology</t>
        </is>
      </c>
      <c r="B10" s="21" t="n">
        <v>1200</v>
      </c>
      <c r="C10" s="26" t="n">
        <v>333</v>
      </c>
      <c r="D10" s="26" t="n">
        <v>307</v>
      </c>
      <c r="E10" s="36">
        <f>C10+D10</f>
        <v/>
      </c>
      <c r="F10" s="12" t="n">
        <v>0.2282282282282282</v>
      </c>
      <c r="G10" s="30" t="n">
        <v>0.07491856677524431</v>
      </c>
      <c r="H10" s="18" t="n">
        <v>14.5</v>
      </c>
      <c r="I10" s="21" t="n">
        <v>573600</v>
      </c>
    </row>
    <row r="11" ht="20" customHeight="1">
      <c r="A11" s="28" t="inlineStr">
        <is>
          <t>Orthopedics</t>
        </is>
      </c>
      <c r="B11" s="22" t="n">
        <v>800</v>
      </c>
      <c r="C11" s="7" t="n">
        <v>327</v>
      </c>
      <c r="D11" s="7" t="n">
        <v>293</v>
      </c>
      <c r="E11" s="35">
        <f>C11+D11</f>
        <v/>
      </c>
      <c r="F11" s="15" t="n">
        <v>0.2415902140672783</v>
      </c>
      <c r="G11" s="30" t="n">
        <v>0.08873720136518772</v>
      </c>
      <c r="H11" s="16" t="n">
        <v>14.59</v>
      </c>
      <c r="I11" s="22" t="n">
        <v>350400</v>
      </c>
    </row>
    <row r="12" ht="20" customHeight="1">
      <c r="A12" s="24" t="inlineStr">
        <is>
          <t>Pediatrics</t>
        </is>
      </c>
      <c r="B12" s="21" t="n">
        <v>600</v>
      </c>
      <c r="C12" s="26" t="n">
        <v>303</v>
      </c>
      <c r="D12" s="26" t="n">
        <v>307</v>
      </c>
      <c r="E12" s="36">
        <f>C12+D12</f>
        <v/>
      </c>
      <c r="F12" s="12" t="n">
        <v>0.2409240924092409</v>
      </c>
      <c r="G12" s="30" t="n">
        <v>0.08794788273615635</v>
      </c>
      <c r="H12" s="18" t="n">
        <v>13.9</v>
      </c>
      <c r="I12" s="21" t="n">
        <v>266400</v>
      </c>
    </row>
    <row r="13" ht="22" customHeight="1">
      <c r="A13" s="31" t="inlineStr">
        <is>
          <t>Total / Portfolio Average</t>
        </is>
      </c>
      <c r="B13" s="34">
        <f>AVERAGE(B5:B12)</f>
        <v/>
      </c>
      <c r="C13" s="32">
        <f>SUM(C5:C12)</f>
        <v/>
      </c>
      <c r="D13" s="32">
        <f>SUM(D5:D12)</f>
        <v/>
      </c>
      <c r="E13" s="32">
        <f>SUM(E5:E12)</f>
        <v/>
      </c>
      <c r="F13" s="33">
        <f>AVERAGE(F5:F12)</f>
        <v/>
      </c>
      <c r="G13" s="33">
        <f>AVERAGE(G5:G12)</f>
        <v/>
      </c>
      <c r="H13" s="37">
        <f>AVERAGE(H5:H12)</f>
        <v/>
      </c>
      <c r="I13" s="34">
        <f>SUM(I5:I12)</f>
        <v/>
      </c>
    </row>
    <row r="15" ht="22" customHeight="1">
      <c r="A15" s="38" t="inlineStr">
        <is>
          <t>OMNICHANNEL BOOKING &amp; TURNAROUND DISTRIBUTION (AS-IS VS. TO-BE COHORTS)</t>
        </is>
      </c>
    </row>
    <row r="16" ht="26" customHeight="1">
      <c r="A16" s="3" t="inlineStr">
        <is>
          <t>Booking Channel</t>
        </is>
      </c>
      <c r="B16" s="3" t="inlineStr">
        <is>
          <t>Channel Category</t>
        </is>
      </c>
      <c r="C16" s="4" t="inlineStr">
        <is>
          <t>As-Is Volume</t>
        </is>
      </c>
      <c r="D16" s="4" t="inlineStr">
        <is>
          <t>As-Is Share (%)</t>
        </is>
      </c>
      <c r="E16" s="4" t="inlineStr">
        <is>
          <t>To-Be Volume</t>
        </is>
      </c>
      <c r="F16" s="4" t="inlineStr">
        <is>
          <t>To-Be Share (%)</t>
        </is>
      </c>
      <c r="G16" s="4" t="inlineStr">
        <is>
          <t>Mean Turnaround (Mins)</t>
        </is>
      </c>
      <c r="H16" s="4" t="inlineStr">
        <is>
          <t>Mean CSAT (1-5)</t>
        </is>
      </c>
      <c r="I16" s="4" t="inlineStr">
        <is>
          <t>Realized Revenue (INR ₹)</t>
        </is>
      </c>
    </row>
    <row r="17" ht="20" customHeight="1">
      <c r="A17" s="24" t="inlineStr">
        <is>
          <t>Phone Call</t>
        </is>
      </c>
      <c r="B17" s="25" t="inlineStr">
        <is>
          <t>Assisted / Traditional</t>
        </is>
      </c>
      <c r="C17" s="26" t="n">
        <v>1510</v>
      </c>
      <c r="D17" s="12">
        <f>C17/$C$22</f>
        <v/>
      </c>
      <c r="E17" s="26" t="n">
        <v>266</v>
      </c>
      <c r="F17" s="12">
        <f>E17/$E$22</f>
        <v/>
      </c>
      <c r="G17" s="18" t="n">
        <v>9.960000000000001</v>
      </c>
      <c r="H17" s="39" t="n">
        <v>2.85</v>
      </c>
      <c r="I17" s="21" t="n">
        <v>885350</v>
      </c>
    </row>
    <row r="18" ht="20" customHeight="1">
      <c r="A18" s="24" t="inlineStr">
        <is>
          <t>Walk-In Desk</t>
        </is>
      </c>
      <c r="B18" s="25" t="inlineStr">
        <is>
          <t>Assisted / Traditional</t>
        </is>
      </c>
      <c r="C18" s="26" t="n">
        <v>990</v>
      </c>
      <c r="D18" s="12">
        <f>C18/$C$22</f>
        <v/>
      </c>
      <c r="E18" s="26" t="n">
        <v>383</v>
      </c>
      <c r="F18" s="12">
        <f>E18/$E$22</f>
        <v/>
      </c>
      <c r="G18" s="18" t="n">
        <v>8.65</v>
      </c>
      <c r="H18" s="39" t="n">
        <v>3.03</v>
      </c>
      <c r="I18" s="21" t="n">
        <v>715100</v>
      </c>
    </row>
    <row r="19" ht="20" customHeight="1">
      <c r="A19" s="40" t="inlineStr">
        <is>
          <t>Mobile App</t>
        </is>
      </c>
      <c r="B19" s="41" t="inlineStr">
        <is>
          <t>Digital Self-Service</t>
        </is>
      </c>
      <c r="C19" s="42" t="n">
        <v>0</v>
      </c>
      <c r="D19" s="30">
        <f>C19/$C$22</f>
        <v/>
      </c>
      <c r="E19" s="42" t="n">
        <v>722</v>
      </c>
      <c r="F19" s="30">
        <f>E19/$E$22</f>
        <v/>
      </c>
      <c r="G19" s="43" t="n">
        <v>1.81</v>
      </c>
      <c r="H19" s="44" t="n">
        <v>4.21</v>
      </c>
      <c r="I19" s="45" t="n">
        <v>466900</v>
      </c>
    </row>
    <row r="20" ht="20" customHeight="1">
      <c r="A20" s="40" t="inlineStr">
        <is>
          <t>Web Portal</t>
        </is>
      </c>
      <c r="B20" s="41" t="inlineStr">
        <is>
          <t>Digital Self-Service</t>
        </is>
      </c>
      <c r="C20" s="42" t="n">
        <v>0</v>
      </c>
      <c r="D20" s="30">
        <f>C20/$C$22</f>
        <v/>
      </c>
      <c r="E20" s="42" t="n">
        <v>569</v>
      </c>
      <c r="F20" s="30">
        <f>E20/$E$22</f>
        <v/>
      </c>
      <c r="G20" s="43" t="n">
        <v>1.76</v>
      </c>
      <c r="H20" s="44" t="n">
        <v>4.22</v>
      </c>
      <c r="I20" s="45" t="n">
        <v>361300</v>
      </c>
    </row>
    <row r="21" ht="20" customHeight="1">
      <c r="A21" s="40" t="inlineStr">
        <is>
          <t>WhatsApp Bot</t>
        </is>
      </c>
      <c r="B21" s="41" t="inlineStr">
        <is>
          <t>Digital Self-Service</t>
        </is>
      </c>
      <c r="C21" s="42" t="n">
        <v>0</v>
      </c>
      <c r="D21" s="30">
        <f>C21/$C$22</f>
        <v/>
      </c>
      <c r="E21" s="42" t="n">
        <v>560</v>
      </c>
      <c r="F21" s="30">
        <f>E21/$E$22</f>
        <v/>
      </c>
      <c r="G21" s="43" t="n">
        <v>1.8</v>
      </c>
      <c r="H21" s="44" t="n">
        <v>4.18</v>
      </c>
      <c r="I21" s="45" t="n">
        <v>344600</v>
      </c>
    </row>
    <row r="22" ht="22" customHeight="1">
      <c r="A22" s="31" t="inlineStr">
        <is>
          <t>Total All Channels</t>
        </is>
      </c>
      <c r="B22" s="31" t="inlineStr">
        <is>
          <t>74.04% To-Be Self-Service</t>
        </is>
      </c>
      <c r="C22" s="32">
        <f>SUM(C17:C21)</f>
        <v/>
      </c>
      <c r="D22" s="33">
        <f>SUM(D17:D21)</f>
        <v/>
      </c>
      <c r="E22" s="32">
        <f>SUM(E17:E21)</f>
        <v/>
      </c>
      <c r="F22" s="33">
        <f>SUM(F17:F21)</f>
        <v/>
      </c>
      <c r="G22" s="37">
        <f>AVERAGE(G17:G21)</f>
        <v/>
      </c>
      <c r="H22" s="46">
        <f>AVERAGE(H17:H21)</f>
        <v/>
      </c>
      <c r="I22" s="34">
        <f>SUM(I17:I21)</f>
        <v/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2026-10-26T20:03:47Z</dcterms:created>
  <dcterms:modified xmlns:dcterms="http://purl.org/dc/terms/" xmlns:xsi="http://www.w3.org/2001/XMLSchema-instance" xsi:type="dcterms:W3CDTF">2026-10-26T20:03:47Z</dcterms:modified>
</cp:coreProperties>
</file>